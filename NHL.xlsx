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403c8f666e9987/Documents/Desktop/Coding/"/>
    </mc:Choice>
  </mc:AlternateContent>
  <xr:revisionPtr revIDLastSave="55" documentId="8_{491B8AC6-A31F-4CC0-B21C-A4F30EC8AD60}" xr6:coauthVersionLast="47" xr6:coauthVersionMax="47" xr10:uidLastSave="{424E1831-5D37-4712-85B6-273BD98125BB}"/>
  <bookViews>
    <workbookView xWindow="2940" yWindow="322" windowWidth="14887" windowHeight="13358" firstSheet="1" activeTab="1" xr2:uid="{8C3EE30D-172A-45EF-80B3-857D9986D67E}"/>
  </bookViews>
  <sheets>
    <sheet name="nhl_predictions_log (2)" sheetId="3" r:id="rId1"/>
    <sheet name="nhl_predictions_log (3)" sheetId="4" r:id="rId2"/>
    <sheet name="nhl_predictions_log" sheetId="2" r:id="rId3"/>
    <sheet name="Sheet1" sheetId="1" r:id="rId4"/>
  </sheets>
  <definedNames>
    <definedName name="ExternalData_1" localSheetId="2" hidden="1">nhl_predictions_log!$A$1:$G$11</definedName>
    <definedName name="ExternalData_2" localSheetId="0" hidden="1">'nhl_predictions_log (2)'!$A$1:$G$11</definedName>
    <definedName name="ExternalData_2" localSheetId="1" hidden="1">'nhl_predictions_log (3)'!$A$1:$G$18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4" l="1"/>
  <c r="J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549B95-51C6-45EF-865F-A41F8A248033}" keepAlive="1" name="Query - nhl_predictions_log" description="Connection to the 'nhl_predictions_log' query in the workbook." type="5" refreshedVersion="8" background="1" saveData="1">
    <dbPr connection="Provider=Microsoft.Mashup.OleDb.1;Data Source=$Workbook$;Location=nhl_predictions_log;Extended Properties=&quot;&quot;" command="SELECT * FROM [nhl_predictions_log]"/>
  </connection>
  <connection id="2" xr16:uid="{153E9495-97FF-4003-9625-4FCCA690E294}" keepAlive="1" name="Query - nhl_predictions_log (2)" description="Connection to the 'nhl_predictions_log (2)' query in the workbook." type="5" refreshedVersion="8" background="1" saveData="1">
    <dbPr connection="Provider=Microsoft.Mashup.OleDb.1;Data Source=$Workbook$;Location=&quot;nhl_predictions_log (2)&quot;;Extended Properties=&quot;&quot;" command="SELECT * FROM [nhl_predictions_log (2)]"/>
  </connection>
  <connection id="3" xr16:uid="{86BEB20B-A1EB-42BA-9B72-777BE269D325}" keepAlive="1" name="Query - nhl_predictions_log (3)" description="Connection to the 'nhl_predictions_log (3)' query in the workbook." type="5" refreshedVersion="8" background="1" saveData="1">
    <dbPr connection="Provider=Microsoft.Mashup.OleDb.1;Data Source=$Workbook$;Location=&quot;nhl_predictions_log (3)&quot;;Extended Properties=&quot;&quot;" command="SELECT * FROM [nhl_predictions_log (3)]"/>
  </connection>
</connections>
</file>

<file path=xl/sharedStrings.xml><?xml version="1.0" encoding="utf-8"?>
<sst xmlns="http://schemas.openxmlformats.org/spreadsheetml/2006/main" count="210" uniqueCount="41">
  <si>
    <t>Date</t>
  </si>
  <si>
    <t>Home</t>
  </si>
  <si>
    <t>Away</t>
  </si>
  <si>
    <t>PredictedWinner</t>
  </si>
  <si>
    <t>Confidence</t>
  </si>
  <si>
    <t>ActualWinner</t>
  </si>
  <si>
    <t>Status</t>
  </si>
  <si>
    <t>FLA</t>
  </si>
  <si>
    <t>BUF</t>
  </si>
  <si>
    <t>PIT</t>
  </si>
  <si>
    <t>OTT</t>
  </si>
  <si>
    <t>WSH</t>
  </si>
  <si>
    <t>NYI</t>
  </si>
  <si>
    <t>MIN</t>
  </si>
  <si>
    <t>MTL</t>
  </si>
  <si>
    <t>NSH</t>
  </si>
  <si>
    <t>STL</t>
  </si>
  <si>
    <t>CHI</t>
  </si>
  <si>
    <t>SJS</t>
  </si>
  <si>
    <t>DAL</t>
  </si>
  <si>
    <t>WPG</t>
  </si>
  <si>
    <t>COL</t>
  </si>
  <si>
    <t>DET</t>
  </si>
  <si>
    <t>UTA</t>
  </si>
  <si>
    <t>VAN</t>
  </si>
  <si>
    <t>CGY</t>
  </si>
  <si>
    <t>TOR</t>
  </si>
  <si>
    <t>Correct</t>
  </si>
  <si>
    <t>Wrong</t>
  </si>
  <si>
    <t>STATS</t>
  </si>
  <si>
    <t>CORRECT %</t>
  </si>
  <si>
    <t>NJD</t>
  </si>
  <si>
    <t>CBJ</t>
  </si>
  <si>
    <t/>
  </si>
  <si>
    <t>Pending</t>
  </si>
  <si>
    <t>PHI</t>
  </si>
  <si>
    <t>CAR</t>
  </si>
  <si>
    <t>TBL</t>
  </si>
  <si>
    <t>EDM</t>
  </si>
  <si>
    <t>ANA</t>
  </si>
  <si>
    <t>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</si>
</sst>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1" applyFont="1"/>
    <xf numFmtId="0" fontId="0" fillId="0" borderId="0" xfId="0" applyNumberFormat="1"/>
  </cellXfs>
  <cellStyles count="2">
    <cellStyle name="Normal" xfId="0" builtinId="0"/>
    <cellStyle name="Percent" xfId="1" builtinId="5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29AA831-55CC-4860-85AC-21DC81570C69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Home" tableColumnId="2"/>
      <queryTableField id="3" name="Away" tableColumnId="3"/>
      <queryTableField id="4" name="PredictedWinner" tableColumnId="4"/>
      <queryTableField id="5" name="Confidence" tableColumnId="5"/>
      <queryTableField id="6" name="ActualWinner" tableColumnId="6"/>
      <queryTableField id="7" name="Status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EB26CD6E-B42C-4297-AEC3-AA259879D909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Home" tableColumnId="2"/>
      <queryTableField id="3" name="Away" tableColumnId="3"/>
      <queryTableField id="4" name="PredictedWinner" tableColumnId="4"/>
      <queryTableField id="5" name="Confidence" tableColumnId="5"/>
      <queryTableField id="6" name="ActualWinner" tableColumnId="6"/>
      <queryTableField id="7" name="Statu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37F0120-D94C-4861-AC7E-B89E169B1957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Home" tableColumnId="2"/>
      <queryTableField id="3" name="Away" tableColumnId="3"/>
      <queryTableField id="4" name="PredictedWinner" tableColumnId="4"/>
      <queryTableField id="5" name="Confidence" tableColumnId="5"/>
      <queryTableField id="6" name="ActualWinner" tableColumnId="6"/>
      <queryTableField id="7" name="Statu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AA4A23-09D8-4130-86FE-665BF0F4AE57}" name="nhl_predictions_log__2" displayName="nhl_predictions_log__2" ref="A1:G11" tableType="queryTable" totalsRowShown="0">
  <autoFilter ref="A1:G11" xr:uid="{F0AA4A23-09D8-4130-86FE-665BF0F4AE57}"/>
  <tableColumns count="7">
    <tableColumn id="1" xr3:uid="{C2587384-A519-4439-B982-FD6A4F5D8CED}" uniqueName="1" name="Date" queryTableFieldId="1" dataDxfId="18"/>
    <tableColumn id="2" xr3:uid="{356A6AF8-E68C-4939-AFEF-A53B34A16377}" uniqueName="2" name="Home" queryTableFieldId="2" dataDxfId="17"/>
    <tableColumn id="3" xr3:uid="{9E17F0D9-CDF8-43EE-91F7-B6AA0BF49C16}" uniqueName="3" name="Away" queryTableFieldId="3" dataDxfId="16"/>
    <tableColumn id="4" xr3:uid="{3B9C8BFF-A21E-4844-9075-D56909D12415}" uniqueName="4" name="PredictedWinner" queryTableFieldId="4" dataDxfId="15"/>
    <tableColumn id="5" xr3:uid="{3B765748-D975-4548-A77A-32ABD99BDC41}" uniqueName="5" name="Confidence" queryTableFieldId="5"/>
    <tableColumn id="6" xr3:uid="{748CBC49-C414-4F1C-A9FE-37915ED4EF3A}" uniqueName="6" name="ActualWinner" queryTableFieldId="6" dataDxfId="14"/>
    <tableColumn id="7" xr3:uid="{9B1FB706-9540-43B1-9E96-84F0A9A69CBA}" uniqueName="7" name="Status" queryTableFieldId="7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8B021B-C9A1-4DE5-B374-DC2DE9AA690C}" name="nhl_predictions_log__3" displayName="nhl_predictions_log__3" ref="A1:G18" tableType="queryTable" totalsRowShown="0">
  <autoFilter ref="A1:G18" xr:uid="{3D8B021B-C9A1-4DE5-B374-DC2DE9AA690C}"/>
  <tableColumns count="7">
    <tableColumn id="1" xr3:uid="{1D41EE65-595D-42BA-A2B4-EAB2B3E45171}" uniqueName="1" name="Date" queryTableFieldId="1" dataDxfId="5"/>
    <tableColumn id="2" xr3:uid="{F0BDD090-9D15-4C2F-BE4C-7B63BA27131D}" uniqueName="2" name="Home" queryTableFieldId="2" dataDxfId="4"/>
    <tableColumn id="3" xr3:uid="{09E5D541-DDF9-4CBF-BD99-F713F465BEFD}" uniqueName="3" name="Away" queryTableFieldId="3" dataDxfId="3"/>
    <tableColumn id="4" xr3:uid="{ACA4508F-EC2D-40F3-B089-6BAB302DDEED}" uniqueName="4" name="PredictedWinner" queryTableFieldId="4" dataDxfId="2"/>
    <tableColumn id="5" xr3:uid="{898754F8-F4C7-4972-AAEB-87D696F26EB6}" uniqueName="5" name="Confidence" queryTableFieldId="5"/>
    <tableColumn id="6" xr3:uid="{0ED1A194-BC50-4CE5-88AC-CF59F6AEE87E}" uniqueName="6" name="ActualWinner" queryTableFieldId="6" dataDxfId="1"/>
    <tableColumn id="7" xr3:uid="{2B426633-C7AC-44DA-9474-69B2F84B76BE}" uniqueName="7" name="Status" queryTableFieldId="7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4E0BC1-E1D1-4650-B879-B6FCFD0BABE9}" name="nhl_predictions_log" displayName="nhl_predictions_log" ref="A1:G11" tableType="queryTable" totalsRowShown="0">
  <autoFilter ref="A1:G11" xr:uid="{5C4E0BC1-E1D1-4650-B879-B6FCFD0BABE9}"/>
  <tableColumns count="7">
    <tableColumn id="1" xr3:uid="{147834F9-B27D-44B3-B7AD-82BE58703551}" uniqueName="1" name="Date" queryTableFieldId="1" dataDxfId="12"/>
    <tableColumn id="2" xr3:uid="{F7907D07-DDA6-4669-AEE2-78E3BF447497}" uniqueName="2" name="Home" queryTableFieldId="2" dataDxfId="11"/>
    <tableColumn id="3" xr3:uid="{EAFABD89-EEB7-44DB-BE11-7381A97659B6}" uniqueName="3" name="Away" queryTableFieldId="3" dataDxfId="10"/>
    <tableColumn id="4" xr3:uid="{A5B505DB-A85B-43ED-A16C-13C5E44631A8}" uniqueName="4" name="PredictedWinner" queryTableFieldId="4" dataDxfId="9"/>
    <tableColumn id="5" xr3:uid="{E3FA6B1E-2707-4A7C-9AB5-88A583E4BD0E}" uniqueName="5" name="Confidence" queryTableFieldId="5" dataDxfId="8" dataCellStyle="Percent"/>
    <tableColumn id="6" xr3:uid="{E1FD7AA7-FEB3-4BB7-A504-F671B9C28903}" uniqueName="6" name="ActualWinner" queryTableFieldId="6" dataDxfId="7"/>
    <tableColumn id="7" xr3:uid="{67B30DC9-BEF5-4846-942D-164FC29770BE}" uniqueName="7" name="Status" queryTableFieldId="7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F98DD-FF8E-4199-8559-24AEB527D8D5}">
  <dimension ref="A1:G11"/>
  <sheetViews>
    <sheetView workbookViewId="0"/>
  </sheetViews>
  <sheetFormatPr defaultRowHeight="14.25" x14ac:dyDescent="0.45"/>
  <cols>
    <col min="1" max="1" width="7.9296875" bestFit="1" customWidth="1"/>
    <col min="2" max="2" width="7.73046875" bestFit="1" customWidth="1"/>
    <col min="3" max="3" width="7.1328125" bestFit="1" customWidth="1"/>
    <col min="4" max="4" width="16.46484375" bestFit="1" customWidth="1"/>
    <col min="5" max="5" width="12.1328125" bestFit="1" customWidth="1"/>
    <col min="6" max="6" width="13.73046875" bestFit="1" customWidth="1"/>
    <col min="7" max="7" width="8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46055</v>
      </c>
      <c r="B2" t="s">
        <v>7</v>
      </c>
      <c r="C2" t="s">
        <v>8</v>
      </c>
      <c r="D2" t="s">
        <v>8</v>
      </c>
      <c r="E2">
        <v>0.91</v>
      </c>
      <c r="F2" t="s">
        <v>8</v>
      </c>
      <c r="G2" t="s">
        <v>27</v>
      </c>
    </row>
    <row r="3" spans="1:7" x14ac:dyDescent="0.45">
      <c r="A3" s="1">
        <v>46055</v>
      </c>
      <c r="B3" t="s">
        <v>9</v>
      </c>
      <c r="C3" t="s">
        <v>10</v>
      </c>
      <c r="D3" t="s">
        <v>9</v>
      </c>
      <c r="E3">
        <v>0.83</v>
      </c>
      <c r="F3" t="s">
        <v>10</v>
      </c>
      <c r="G3" t="s">
        <v>28</v>
      </c>
    </row>
    <row r="4" spans="1:7" x14ac:dyDescent="0.45">
      <c r="A4" s="1">
        <v>46055</v>
      </c>
      <c r="B4" t="s">
        <v>11</v>
      </c>
      <c r="C4" t="s">
        <v>12</v>
      </c>
      <c r="D4" t="s">
        <v>12</v>
      </c>
      <c r="E4">
        <v>0.68</v>
      </c>
      <c r="F4" t="s">
        <v>11</v>
      </c>
      <c r="G4" t="s">
        <v>28</v>
      </c>
    </row>
    <row r="5" spans="1:7" x14ac:dyDescent="0.45">
      <c r="A5" s="1">
        <v>46055</v>
      </c>
      <c r="B5" t="s">
        <v>13</v>
      </c>
      <c r="C5" t="s">
        <v>14</v>
      </c>
      <c r="D5" t="s">
        <v>13</v>
      </c>
      <c r="E5">
        <v>0.69</v>
      </c>
      <c r="F5" t="s">
        <v>13</v>
      </c>
      <c r="G5" t="s">
        <v>27</v>
      </c>
    </row>
    <row r="6" spans="1:7" x14ac:dyDescent="0.45">
      <c r="A6" s="1">
        <v>46055</v>
      </c>
      <c r="B6" t="s">
        <v>15</v>
      </c>
      <c r="C6" t="s">
        <v>16</v>
      </c>
      <c r="D6" t="s">
        <v>15</v>
      </c>
      <c r="E6">
        <v>0.92</v>
      </c>
      <c r="F6" t="s">
        <v>16</v>
      </c>
      <c r="G6" t="s">
        <v>28</v>
      </c>
    </row>
    <row r="7" spans="1:7" x14ac:dyDescent="0.45">
      <c r="A7" s="1">
        <v>46055</v>
      </c>
      <c r="B7" t="s">
        <v>17</v>
      </c>
      <c r="C7" t="s">
        <v>18</v>
      </c>
      <c r="D7" t="s">
        <v>18</v>
      </c>
      <c r="E7">
        <v>0.92</v>
      </c>
      <c r="F7" t="s">
        <v>17</v>
      </c>
      <c r="G7" t="s">
        <v>28</v>
      </c>
    </row>
    <row r="8" spans="1:7" x14ac:dyDescent="0.45">
      <c r="A8" s="1">
        <v>46055</v>
      </c>
      <c r="B8" t="s">
        <v>19</v>
      </c>
      <c r="C8" t="s">
        <v>20</v>
      </c>
      <c r="D8" t="s">
        <v>19</v>
      </c>
      <c r="E8">
        <v>0.85</v>
      </c>
      <c r="F8" t="s">
        <v>20</v>
      </c>
      <c r="G8" t="s">
        <v>28</v>
      </c>
    </row>
    <row r="9" spans="1:7" x14ac:dyDescent="0.45">
      <c r="A9" s="1">
        <v>46055</v>
      </c>
      <c r="B9" t="s">
        <v>21</v>
      </c>
      <c r="C9" t="s">
        <v>22</v>
      </c>
      <c r="D9" t="s">
        <v>21</v>
      </c>
      <c r="E9">
        <v>0.95</v>
      </c>
      <c r="F9" t="s">
        <v>22</v>
      </c>
      <c r="G9" t="s">
        <v>28</v>
      </c>
    </row>
    <row r="10" spans="1:7" x14ac:dyDescent="0.45">
      <c r="A10" s="1">
        <v>46055</v>
      </c>
      <c r="B10" t="s">
        <v>23</v>
      </c>
      <c r="C10" t="s">
        <v>24</v>
      </c>
      <c r="D10" t="s">
        <v>23</v>
      </c>
      <c r="E10">
        <v>0.91</v>
      </c>
      <c r="F10" t="s">
        <v>23</v>
      </c>
      <c r="G10" t="s">
        <v>27</v>
      </c>
    </row>
    <row r="11" spans="1:7" x14ac:dyDescent="0.45">
      <c r="A11" s="1">
        <v>46055</v>
      </c>
      <c r="B11" t="s">
        <v>25</v>
      </c>
      <c r="C11" t="s">
        <v>26</v>
      </c>
      <c r="D11" t="s">
        <v>26</v>
      </c>
      <c r="E11">
        <v>0.78</v>
      </c>
      <c r="F11" t="s">
        <v>26</v>
      </c>
      <c r="G1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C0517-74F5-40F4-840A-1190F78F4E5E}">
  <dimension ref="A1:J18"/>
  <sheetViews>
    <sheetView tabSelected="1" workbookViewId="0">
      <selection activeCell="G9" sqref="G9"/>
    </sheetView>
  </sheetViews>
  <sheetFormatPr defaultRowHeight="14.25" x14ac:dyDescent="0.45"/>
  <cols>
    <col min="1" max="1" width="7.9296875" bestFit="1" customWidth="1"/>
    <col min="2" max="2" width="7.73046875" bestFit="1" customWidth="1"/>
    <col min="3" max="3" width="7.1328125" bestFit="1" customWidth="1"/>
    <col min="4" max="4" width="16.46484375" bestFit="1" customWidth="1"/>
    <col min="5" max="5" width="12.1328125" bestFit="1" customWidth="1"/>
    <col min="6" max="6" width="13.73046875" bestFit="1" customWidth="1"/>
    <col min="7" max="7" width="8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29</v>
      </c>
    </row>
    <row r="2" spans="1:10" x14ac:dyDescent="0.45">
      <c r="A2" s="1">
        <v>46055</v>
      </c>
      <c r="B2" s="3" t="s">
        <v>7</v>
      </c>
      <c r="C2" s="3" t="s">
        <v>8</v>
      </c>
      <c r="D2" s="3" t="s">
        <v>8</v>
      </c>
      <c r="E2">
        <v>0.91</v>
      </c>
      <c r="F2" s="3" t="s">
        <v>8</v>
      </c>
      <c r="G2" s="3" t="s">
        <v>27</v>
      </c>
      <c r="I2" t="s">
        <v>30</v>
      </c>
      <c r="J2" s="2">
        <f>(COUNTIF(G:G,"Correct"))/(COUNTIF(G:G,"Wrong"))</f>
        <v>0.66666666666666663</v>
      </c>
    </row>
    <row r="3" spans="1:10" x14ac:dyDescent="0.45">
      <c r="A3" s="1">
        <v>46055</v>
      </c>
      <c r="B3" s="3" t="s">
        <v>9</v>
      </c>
      <c r="C3" s="3" t="s">
        <v>10</v>
      </c>
      <c r="D3" s="3" t="s">
        <v>9</v>
      </c>
      <c r="E3">
        <v>0.83</v>
      </c>
      <c r="F3" s="3" t="s">
        <v>10</v>
      </c>
      <c r="G3" s="3" t="s">
        <v>28</v>
      </c>
    </row>
    <row r="4" spans="1:10" x14ac:dyDescent="0.45">
      <c r="A4" s="1">
        <v>46055</v>
      </c>
      <c r="B4" s="3" t="s">
        <v>11</v>
      </c>
      <c r="C4" s="3" t="s">
        <v>12</v>
      </c>
      <c r="D4" s="3" t="s">
        <v>12</v>
      </c>
      <c r="E4">
        <v>0.68</v>
      </c>
      <c r="F4" s="3" t="s">
        <v>11</v>
      </c>
      <c r="G4" s="3" t="s">
        <v>28</v>
      </c>
    </row>
    <row r="5" spans="1:10" x14ac:dyDescent="0.45">
      <c r="A5" s="1">
        <v>46055</v>
      </c>
      <c r="B5" s="3" t="s">
        <v>13</v>
      </c>
      <c r="C5" s="3" t="s">
        <v>14</v>
      </c>
      <c r="D5" s="3" t="s">
        <v>13</v>
      </c>
      <c r="E5">
        <v>0.69</v>
      </c>
      <c r="F5" s="3" t="s">
        <v>13</v>
      </c>
      <c r="G5" s="3" t="s">
        <v>27</v>
      </c>
    </row>
    <row r="6" spans="1:10" x14ac:dyDescent="0.45">
      <c r="A6" s="1">
        <v>46055</v>
      </c>
      <c r="B6" s="3" t="s">
        <v>15</v>
      </c>
      <c r="C6" s="3" t="s">
        <v>16</v>
      </c>
      <c r="D6" s="3" t="s">
        <v>15</v>
      </c>
      <c r="E6">
        <v>0.92</v>
      </c>
      <c r="F6" s="3" t="s">
        <v>16</v>
      </c>
      <c r="G6" s="3" t="s">
        <v>28</v>
      </c>
    </row>
    <row r="7" spans="1:10" x14ac:dyDescent="0.45">
      <c r="A7" s="1">
        <v>46055</v>
      </c>
      <c r="B7" s="3" t="s">
        <v>17</v>
      </c>
      <c r="C7" s="3" t="s">
        <v>18</v>
      </c>
      <c r="D7" s="3" t="s">
        <v>18</v>
      </c>
      <c r="E7">
        <v>0.92</v>
      </c>
      <c r="F7" s="3" t="s">
        <v>17</v>
      </c>
      <c r="G7" s="3" t="s">
        <v>28</v>
      </c>
    </row>
    <row r="8" spans="1:10" x14ac:dyDescent="0.45">
      <c r="A8" s="1">
        <v>46055</v>
      </c>
      <c r="B8" s="3" t="s">
        <v>19</v>
      </c>
      <c r="C8" s="3" t="s">
        <v>20</v>
      </c>
      <c r="D8" s="3" t="s">
        <v>19</v>
      </c>
      <c r="E8">
        <v>0.85</v>
      </c>
      <c r="F8" s="3" t="s">
        <v>20</v>
      </c>
      <c r="G8" s="3" t="s">
        <v>28</v>
      </c>
    </row>
    <row r="9" spans="1:10" x14ac:dyDescent="0.45">
      <c r="A9" s="1">
        <v>46055</v>
      </c>
      <c r="B9" s="3" t="s">
        <v>21</v>
      </c>
      <c r="C9" s="3" t="s">
        <v>22</v>
      </c>
      <c r="D9" s="3" t="s">
        <v>21</v>
      </c>
      <c r="E9">
        <v>0.95</v>
      </c>
      <c r="F9" s="3" t="s">
        <v>22</v>
      </c>
      <c r="G9" s="3" t="s">
        <v>28</v>
      </c>
    </row>
    <row r="10" spans="1:10" x14ac:dyDescent="0.45">
      <c r="A10" s="1">
        <v>46055</v>
      </c>
      <c r="B10" s="3" t="s">
        <v>23</v>
      </c>
      <c r="C10" s="3" t="s">
        <v>24</v>
      </c>
      <c r="D10" s="3" t="s">
        <v>23</v>
      </c>
      <c r="E10">
        <v>0.91</v>
      </c>
      <c r="F10" s="3" t="s">
        <v>23</v>
      </c>
      <c r="G10" s="3" t="s">
        <v>27</v>
      </c>
    </row>
    <row r="11" spans="1:10" x14ac:dyDescent="0.45">
      <c r="A11" s="1">
        <v>46055</v>
      </c>
      <c r="B11" s="3" t="s">
        <v>25</v>
      </c>
      <c r="C11" s="3" t="s">
        <v>26</v>
      </c>
      <c r="D11" s="3" t="s">
        <v>26</v>
      </c>
      <c r="E11">
        <v>0.78</v>
      </c>
      <c r="F11" s="3" t="s">
        <v>26</v>
      </c>
      <c r="G11" s="3" t="s">
        <v>27</v>
      </c>
    </row>
    <row r="12" spans="1:10" x14ac:dyDescent="0.45">
      <c r="A12" s="1">
        <v>46056</v>
      </c>
      <c r="B12" s="3" t="s">
        <v>31</v>
      </c>
      <c r="C12" s="3" t="s">
        <v>32</v>
      </c>
      <c r="D12" s="3" t="s">
        <v>32</v>
      </c>
      <c r="E12">
        <v>0.73</v>
      </c>
      <c r="F12" s="3" t="s">
        <v>33</v>
      </c>
      <c r="G12" s="3" t="s">
        <v>34</v>
      </c>
    </row>
    <row r="13" spans="1:10" x14ac:dyDescent="0.45">
      <c r="A13" s="1">
        <v>46056</v>
      </c>
      <c r="B13" s="3" t="s">
        <v>35</v>
      </c>
      <c r="C13" s="3" t="s">
        <v>11</v>
      </c>
      <c r="D13" s="3" t="s">
        <v>35</v>
      </c>
      <c r="E13">
        <v>0.85</v>
      </c>
      <c r="F13" s="3" t="s">
        <v>33</v>
      </c>
      <c r="G13" s="3" t="s">
        <v>34</v>
      </c>
    </row>
    <row r="14" spans="1:10" x14ac:dyDescent="0.45">
      <c r="A14" s="1">
        <v>46056</v>
      </c>
      <c r="B14" s="3" t="s">
        <v>36</v>
      </c>
      <c r="C14" s="3" t="s">
        <v>10</v>
      </c>
      <c r="D14" s="3" t="s">
        <v>10</v>
      </c>
      <c r="E14">
        <v>0.74</v>
      </c>
      <c r="F14" s="3" t="s">
        <v>33</v>
      </c>
      <c r="G14" s="3" t="s">
        <v>34</v>
      </c>
    </row>
    <row r="15" spans="1:10" x14ac:dyDescent="0.45">
      <c r="A15" s="1">
        <v>46056</v>
      </c>
      <c r="B15" s="3" t="s">
        <v>37</v>
      </c>
      <c r="C15" s="3" t="s">
        <v>8</v>
      </c>
      <c r="D15" s="3" t="s">
        <v>37</v>
      </c>
      <c r="E15">
        <v>0.56999999999999995</v>
      </c>
      <c r="F15" s="3" t="s">
        <v>33</v>
      </c>
      <c r="G15" s="3" t="s">
        <v>34</v>
      </c>
    </row>
    <row r="16" spans="1:10" x14ac:dyDescent="0.45">
      <c r="A16" s="1">
        <v>46056</v>
      </c>
      <c r="B16" s="3" t="s">
        <v>12</v>
      </c>
      <c r="C16" s="3" t="s">
        <v>9</v>
      </c>
      <c r="D16" s="3" t="s">
        <v>12</v>
      </c>
      <c r="E16">
        <v>0.68</v>
      </c>
      <c r="F16" s="3" t="s">
        <v>33</v>
      </c>
      <c r="G16" s="3" t="s">
        <v>34</v>
      </c>
    </row>
    <row r="17" spans="1:7" x14ac:dyDescent="0.45">
      <c r="A17" s="1">
        <v>46056</v>
      </c>
      <c r="B17" s="3" t="s">
        <v>38</v>
      </c>
      <c r="C17" s="3" t="s">
        <v>26</v>
      </c>
      <c r="D17" s="3" t="s">
        <v>38</v>
      </c>
      <c r="E17">
        <v>0.77</v>
      </c>
      <c r="F17" s="3" t="s">
        <v>33</v>
      </c>
      <c r="G17" s="3" t="s">
        <v>34</v>
      </c>
    </row>
    <row r="18" spans="1:7" x14ac:dyDescent="0.45">
      <c r="A18" s="1">
        <v>46056</v>
      </c>
      <c r="B18" s="3" t="s">
        <v>39</v>
      </c>
      <c r="C18" s="3" t="s">
        <v>40</v>
      </c>
      <c r="D18" s="3" t="s">
        <v>39</v>
      </c>
      <c r="E18">
        <v>0.83</v>
      </c>
      <c r="F18" s="3" t="s">
        <v>33</v>
      </c>
      <c r="G18" s="3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2E4B2-8554-4130-A712-93B2FBA23649}">
  <dimension ref="A1:J11"/>
  <sheetViews>
    <sheetView workbookViewId="0">
      <selection activeCell="I1" sqref="I1:J2"/>
    </sheetView>
  </sheetViews>
  <sheetFormatPr defaultRowHeight="14.25" x14ac:dyDescent="0.45"/>
  <cols>
    <col min="1" max="1" width="7.9296875" bestFit="1" customWidth="1"/>
    <col min="2" max="2" width="7.6640625" bestFit="1" customWidth="1"/>
    <col min="3" max="3" width="6.9296875" bestFit="1" customWidth="1"/>
    <col min="4" max="4" width="16.06640625" bestFit="1" customWidth="1"/>
    <col min="5" max="5" width="11.9296875" style="2" bestFit="1" customWidth="1"/>
    <col min="6" max="6" width="13.46484375" bestFit="1" customWidth="1"/>
    <col min="7" max="7" width="7.929687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I1" t="s">
        <v>29</v>
      </c>
    </row>
    <row r="2" spans="1:10" x14ac:dyDescent="0.45">
      <c r="A2" s="1">
        <v>46055</v>
      </c>
      <c r="B2" t="s">
        <v>7</v>
      </c>
      <c r="C2" t="s">
        <v>8</v>
      </c>
      <c r="D2" t="s">
        <v>8</v>
      </c>
      <c r="E2" s="2">
        <v>0.91</v>
      </c>
      <c r="F2" t="s">
        <v>8</v>
      </c>
      <c r="G2" t="s">
        <v>27</v>
      </c>
      <c r="I2" t="s">
        <v>30</v>
      </c>
      <c r="J2" s="2">
        <f>(COUNTIF(G:G,"Correct"))/(COUNTIF(G:G,"Wrong"))</f>
        <v>0.66666666666666663</v>
      </c>
    </row>
    <row r="3" spans="1:10" x14ac:dyDescent="0.45">
      <c r="A3" s="1">
        <v>46055</v>
      </c>
      <c r="B3" t="s">
        <v>9</v>
      </c>
      <c r="C3" t="s">
        <v>10</v>
      </c>
      <c r="D3" t="s">
        <v>9</v>
      </c>
      <c r="E3" s="2">
        <v>0.83</v>
      </c>
      <c r="F3" t="s">
        <v>10</v>
      </c>
      <c r="G3" t="s">
        <v>28</v>
      </c>
    </row>
    <row r="4" spans="1:10" x14ac:dyDescent="0.45">
      <c r="A4" s="1">
        <v>46055</v>
      </c>
      <c r="B4" t="s">
        <v>11</v>
      </c>
      <c r="C4" t="s">
        <v>12</v>
      </c>
      <c r="D4" t="s">
        <v>12</v>
      </c>
      <c r="E4" s="2">
        <v>0.68</v>
      </c>
      <c r="F4" t="s">
        <v>11</v>
      </c>
      <c r="G4" t="s">
        <v>28</v>
      </c>
    </row>
    <row r="5" spans="1:10" x14ac:dyDescent="0.45">
      <c r="A5" s="1">
        <v>46055</v>
      </c>
      <c r="B5" t="s">
        <v>13</v>
      </c>
      <c r="C5" t="s">
        <v>14</v>
      </c>
      <c r="D5" t="s">
        <v>13</v>
      </c>
      <c r="E5" s="2">
        <v>0.69</v>
      </c>
      <c r="F5" t="s">
        <v>13</v>
      </c>
      <c r="G5" t="s">
        <v>27</v>
      </c>
    </row>
    <row r="6" spans="1:10" x14ac:dyDescent="0.45">
      <c r="A6" s="1">
        <v>46055</v>
      </c>
      <c r="B6" t="s">
        <v>15</v>
      </c>
      <c r="C6" t="s">
        <v>16</v>
      </c>
      <c r="D6" t="s">
        <v>15</v>
      </c>
      <c r="E6" s="2">
        <v>0.92</v>
      </c>
      <c r="F6" t="s">
        <v>16</v>
      </c>
      <c r="G6" t="s">
        <v>28</v>
      </c>
    </row>
    <row r="7" spans="1:10" x14ac:dyDescent="0.45">
      <c r="A7" s="1">
        <v>46055</v>
      </c>
      <c r="B7" t="s">
        <v>17</v>
      </c>
      <c r="C7" t="s">
        <v>18</v>
      </c>
      <c r="D7" t="s">
        <v>18</v>
      </c>
      <c r="E7" s="2">
        <v>0.92</v>
      </c>
      <c r="F7" t="s">
        <v>17</v>
      </c>
      <c r="G7" t="s">
        <v>28</v>
      </c>
    </row>
    <row r="8" spans="1:10" x14ac:dyDescent="0.45">
      <c r="A8" s="1">
        <v>46055</v>
      </c>
      <c r="B8" t="s">
        <v>19</v>
      </c>
      <c r="C8" t="s">
        <v>20</v>
      </c>
      <c r="D8" t="s">
        <v>19</v>
      </c>
      <c r="E8" s="2">
        <v>0.85</v>
      </c>
      <c r="F8" t="s">
        <v>20</v>
      </c>
      <c r="G8" t="s">
        <v>28</v>
      </c>
    </row>
    <row r="9" spans="1:10" x14ac:dyDescent="0.45">
      <c r="A9" s="1">
        <v>46055</v>
      </c>
      <c r="B9" t="s">
        <v>21</v>
      </c>
      <c r="C9" t="s">
        <v>22</v>
      </c>
      <c r="D9" t="s">
        <v>21</v>
      </c>
      <c r="E9" s="2">
        <v>0.95</v>
      </c>
      <c r="F9" t="s">
        <v>22</v>
      </c>
      <c r="G9" t="s">
        <v>28</v>
      </c>
    </row>
    <row r="10" spans="1:10" x14ac:dyDescent="0.45">
      <c r="A10" s="1">
        <v>46055</v>
      </c>
      <c r="B10" t="s">
        <v>23</v>
      </c>
      <c r="C10" t="s">
        <v>24</v>
      </c>
      <c r="D10" t="s">
        <v>23</v>
      </c>
      <c r="E10" s="2">
        <v>0.91</v>
      </c>
      <c r="F10" t="s">
        <v>23</v>
      </c>
      <c r="G10" t="s">
        <v>27</v>
      </c>
    </row>
    <row r="11" spans="1:10" x14ac:dyDescent="0.45">
      <c r="A11" s="1">
        <v>46055</v>
      </c>
      <c r="B11" t="s">
        <v>25</v>
      </c>
      <c r="C11" t="s">
        <v>26</v>
      </c>
      <c r="D11" t="s">
        <v>26</v>
      </c>
      <c r="E11" s="2">
        <v>0.78</v>
      </c>
      <c r="F11" t="s">
        <v>26</v>
      </c>
      <c r="G11" t="s">
        <v>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12032-2118-4450-916C-650D2E34E4AE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B6018E-F71C-45C4-8200-726390DB56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nhl_predictions_log (2)</vt:lpstr>
      <vt:lpstr>nhl_predictions_log (3)</vt:lpstr>
      <vt:lpstr>nhl_predictions_log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Kannon Flageolle</dc:creator>
  <cp:lastModifiedBy>Kannon Flageolle</cp:lastModifiedBy>
  <dcterms:created xsi:type="dcterms:W3CDTF">2026-02-02T23:16:12Z</dcterms:created>
  <dcterms:modified xsi:type="dcterms:W3CDTF">2026-02-03T04:42:53Z</dcterms:modified>
</cp:coreProperties>
</file>